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IITK\Sem 1\CE610\P2\"/>
    </mc:Choice>
  </mc:AlternateContent>
  <xr:revisionPtr revIDLastSave="0" documentId="13_ncr:1_{93072DFB-10A6-4204-BAD2-DDA5579E10AE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Time_Series" sheetId="1" r:id="rId1"/>
    <sheet name="DDF_Curves" sheetId="2" r:id="rId2"/>
    <sheet name="IDF_Curves" sheetId="3" r:id="rId3"/>
    <sheet name="Monthly_Average" sheetId="4" r:id="rId4"/>
    <sheet name="Seasonal_Summary" sheetId="5" r:id="rId5"/>
    <sheet name="Trend_Analysis" sheetId="6" r:id="rId6"/>
  </sheets>
  <calcPr calcId="0"/>
</workbook>
</file>

<file path=xl/sharedStrings.xml><?xml version="1.0" encoding="utf-8"?>
<sst xmlns="http://schemas.openxmlformats.org/spreadsheetml/2006/main" count="34" uniqueCount="34">
  <si>
    <t>WaterYear</t>
  </si>
  <si>
    <t>Annual Total (mm)</t>
  </si>
  <si>
    <t>Annual Max Daily (mm)</t>
  </si>
  <si>
    <t>Monsoon Total (mm)</t>
  </si>
  <si>
    <t>Monthly Average (mm)</t>
  </si>
  <si>
    <t>Season</t>
  </si>
  <si>
    <t>Mean (mm)</t>
  </si>
  <si>
    <t>Standard Deviation (mm)</t>
  </si>
  <si>
    <t>Coefficient of Variation</t>
  </si>
  <si>
    <t>% Contribution</t>
  </si>
  <si>
    <t>Winter (Jan-Feb)</t>
  </si>
  <si>
    <t>Pre-Monsoon (Mar-May)</t>
  </si>
  <si>
    <t>Monsoon (Jun-Sep)</t>
  </si>
  <si>
    <t>Post-Monsoon (Oct-Dec)</t>
  </si>
  <si>
    <t>Metric</t>
  </si>
  <si>
    <t>Slope (mm/yr)</t>
  </si>
  <si>
    <t>p-value</t>
  </si>
  <si>
    <t>Significant (5%)</t>
  </si>
  <si>
    <t>Annual Total Rainfall</t>
  </si>
  <si>
    <t>Annual Maximum Daily Rainfall</t>
  </si>
  <si>
    <t>Monsoon Rainfall</t>
  </si>
  <si>
    <t xml:space="preserve">Month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</si>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</sst>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2" xfId="0" applyFont="1" applyBorder="1"/>
    <xf numFmtId="0" fontId="0" fillId="0" borderId="3" xfId="0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Time_Series!$D$1</c:f>
              <c:strCache>
                <c:ptCount val="1"/>
                <c:pt idx="0">
                  <c:v>Monsoon Total 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9618766404199478E-2"/>
                  <c:y val="0.186070647419072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Time_Series!$A$2:$A$75</c:f>
              <c:numCache>
                <c:formatCode>General</c:formatCode>
                <c:ptCount val="74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</c:numCache>
            </c:numRef>
          </c:xVal>
          <c:yVal>
            <c:numRef>
              <c:f>Time_Series!$D$2:$D$75</c:f>
              <c:numCache>
                <c:formatCode>General</c:formatCode>
                <c:ptCount val="74"/>
                <c:pt idx="0">
                  <c:v>363.5046638250351</c:v>
                </c:pt>
                <c:pt idx="1">
                  <c:v>1071.7160396724939</c:v>
                </c:pt>
                <c:pt idx="2">
                  <c:v>511.43903432786459</c:v>
                </c:pt>
                <c:pt idx="3">
                  <c:v>1117.89452008903</c:v>
                </c:pt>
                <c:pt idx="4">
                  <c:v>851.12490163743496</c:v>
                </c:pt>
                <c:pt idx="5">
                  <c:v>686.94213245809078</c:v>
                </c:pt>
                <c:pt idx="6">
                  <c:v>308.23981411755079</c:v>
                </c:pt>
                <c:pt idx="7">
                  <c:v>1227.4683528989549</c:v>
                </c:pt>
                <c:pt idx="8">
                  <c:v>1074.6501239836221</c:v>
                </c:pt>
                <c:pt idx="9">
                  <c:v>696.48824982345104</c:v>
                </c:pt>
                <c:pt idx="10">
                  <c:v>1202.754968136549</c:v>
                </c:pt>
                <c:pt idx="11">
                  <c:v>874.7689666301012</c:v>
                </c:pt>
                <c:pt idx="12">
                  <c:v>802.59821556508541</c:v>
                </c:pt>
                <c:pt idx="13">
                  <c:v>580.16521281003952</c:v>
                </c:pt>
                <c:pt idx="14">
                  <c:v>508.44213956594467</c:v>
                </c:pt>
                <c:pt idx="15">
                  <c:v>446.92309916764498</c:v>
                </c:pt>
                <c:pt idx="16">
                  <c:v>828.08046507835388</c:v>
                </c:pt>
                <c:pt idx="17">
                  <c:v>841.88000473380089</c:v>
                </c:pt>
                <c:pt idx="18">
                  <c:v>1053.7522730827329</c:v>
                </c:pt>
                <c:pt idx="19">
                  <c:v>804.32558646798134</c:v>
                </c:pt>
                <c:pt idx="20">
                  <c:v>826.05007564276457</c:v>
                </c:pt>
                <c:pt idx="21">
                  <c:v>629.19294825196266</c:v>
                </c:pt>
                <c:pt idx="22">
                  <c:v>1512.9701543003321</c:v>
                </c:pt>
                <c:pt idx="23">
                  <c:v>680.54195061326027</c:v>
                </c:pt>
                <c:pt idx="24">
                  <c:v>1014.357718706131</c:v>
                </c:pt>
                <c:pt idx="25">
                  <c:v>1028.3323012888429</c:v>
                </c:pt>
                <c:pt idx="26">
                  <c:v>1259.921113848686</c:v>
                </c:pt>
                <c:pt idx="27">
                  <c:v>985.53591158986092</c:v>
                </c:pt>
                <c:pt idx="28">
                  <c:v>593.99131926894188</c:v>
                </c:pt>
                <c:pt idx="29">
                  <c:v>701.20498931407928</c:v>
                </c:pt>
                <c:pt idx="30">
                  <c:v>803.39798034727573</c:v>
                </c:pt>
                <c:pt idx="31">
                  <c:v>534.58896847069263</c:v>
                </c:pt>
                <c:pt idx="32">
                  <c:v>873.27350181341171</c:v>
                </c:pt>
                <c:pt idx="33">
                  <c:v>1073.7087097167971</c:v>
                </c:pt>
                <c:pt idx="34">
                  <c:v>307.89848437905312</c:v>
                </c:pt>
                <c:pt idx="35">
                  <c:v>886.00659239292145</c:v>
                </c:pt>
                <c:pt idx="36">
                  <c:v>897.31044487655163</c:v>
                </c:pt>
                <c:pt idx="37">
                  <c:v>764.88658085465431</c:v>
                </c:pt>
                <c:pt idx="38">
                  <c:v>785.77211955934763</c:v>
                </c:pt>
                <c:pt idx="39">
                  <c:v>1250.871471121907</c:v>
                </c:pt>
                <c:pt idx="40">
                  <c:v>886.21837101876736</c:v>
                </c:pt>
                <c:pt idx="41">
                  <c:v>617.10016349703074</c:v>
                </c:pt>
                <c:pt idx="42">
                  <c:v>839.38934269547462</c:v>
                </c:pt>
                <c:pt idx="43">
                  <c:v>1244.605074808002</c:v>
                </c:pt>
                <c:pt idx="44">
                  <c:v>568.2463299036026</c:v>
                </c:pt>
                <c:pt idx="45">
                  <c:v>1013.507636040449</c:v>
                </c:pt>
                <c:pt idx="46">
                  <c:v>707.65997485816479</c:v>
                </c:pt>
                <c:pt idx="47">
                  <c:v>703.06276559829712</c:v>
                </c:pt>
                <c:pt idx="48">
                  <c:v>633.34435105323792</c:v>
                </c:pt>
                <c:pt idx="49">
                  <c:v>416.08279234915972</c:v>
                </c:pt>
                <c:pt idx="50">
                  <c:v>722.70834431797266</c:v>
                </c:pt>
                <c:pt idx="51">
                  <c:v>547.97216571867466</c:v>
                </c:pt>
                <c:pt idx="52">
                  <c:v>718.68059892207384</c:v>
                </c:pt>
                <c:pt idx="53">
                  <c:v>1038.7081121951339</c:v>
                </c:pt>
                <c:pt idx="54">
                  <c:v>712.4233510196209</c:v>
                </c:pt>
                <c:pt idx="55">
                  <c:v>1753.9687820822001</c:v>
                </c:pt>
                <c:pt idx="56">
                  <c:v>989.23805574327707</c:v>
                </c:pt>
                <c:pt idx="57">
                  <c:v>636.60747322440147</c:v>
                </c:pt>
                <c:pt idx="58">
                  <c:v>718.99258305132389</c:v>
                </c:pt>
                <c:pt idx="59">
                  <c:v>588.00623394548893</c:v>
                </c:pt>
                <c:pt idx="60">
                  <c:v>1241.8199509680269</c:v>
                </c:pt>
                <c:pt idx="61">
                  <c:v>1210.857619710267</c:v>
                </c:pt>
                <c:pt idx="62">
                  <c:v>887.92022556066513</c:v>
                </c:pt>
                <c:pt idx="63">
                  <c:v>619.94962780177593</c:v>
                </c:pt>
                <c:pt idx="64">
                  <c:v>609.3594976067543</c:v>
                </c:pt>
                <c:pt idx="65">
                  <c:v>1003.279606312513</c:v>
                </c:pt>
                <c:pt idx="66">
                  <c:v>856.67372055351734</c:v>
                </c:pt>
                <c:pt idx="67">
                  <c:v>858.16383548080921</c:v>
                </c:pt>
                <c:pt idx="68">
                  <c:v>1325.9452137798071</c:v>
                </c:pt>
                <c:pt idx="69">
                  <c:v>1254.8692661672831</c:v>
                </c:pt>
                <c:pt idx="70">
                  <c:v>940.95515850186348</c:v>
                </c:pt>
                <c:pt idx="71">
                  <c:v>949.78553174436092</c:v>
                </c:pt>
                <c:pt idx="72">
                  <c:v>757.57159247808158</c:v>
                </c:pt>
                <c:pt idx="73">
                  <c:v>905.66126522421837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A5B-46DE-8FBD-18A28E0EE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150160"/>
        <c:axId val="855800304"/>
      </c:scatterChart>
      <c:valAx>
        <c:axId val="86815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00304"/>
        <c:crosses val="autoZero"/>
        <c:crossBetween val="midCat"/>
      </c:valAx>
      <c:valAx>
        <c:axId val="85580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15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Time_Series!$B$1</c:f>
              <c:strCache>
                <c:ptCount val="1"/>
                <c:pt idx="0">
                  <c:v>Annual Total 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9618766404199478E-2"/>
                  <c:y val="0.2046380139982501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Time_Series!$A$2:$A$75</c:f>
              <c:numCache>
                <c:formatCode>General</c:formatCode>
                <c:ptCount val="74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</c:numCache>
            </c:numRef>
          </c:xVal>
          <c:yVal>
            <c:numRef>
              <c:f>Time_Series!$B$2:$B$75</c:f>
              <c:numCache>
                <c:formatCode>General</c:formatCode>
                <c:ptCount val="74"/>
                <c:pt idx="0">
                  <c:v>367.59922873973852</c:v>
                </c:pt>
                <c:pt idx="1">
                  <c:v>1086.0933748632669</c:v>
                </c:pt>
                <c:pt idx="2">
                  <c:v>520.68925146758556</c:v>
                </c:pt>
                <c:pt idx="3">
                  <c:v>1117.89452008903</c:v>
                </c:pt>
                <c:pt idx="4">
                  <c:v>886.56552492082119</c:v>
                </c:pt>
                <c:pt idx="5">
                  <c:v>908.22038398683071</c:v>
                </c:pt>
                <c:pt idx="6">
                  <c:v>309.28338821232319</c:v>
                </c:pt>
                <c:pt idx="7">
                  <c:v>1270.1576031595471</c:v>
                </c:pt>
                <c:pt idx="8">
                  <c:v>1191.3688398301599</c:v>
                </c:pt>
                <c:pt idx="9">
                  <c:v>711.14678864181042</c:v>
                </c:pt>
                <c:pt idx="10">
                  <c:v>1222.8961376845839</c:v>
                </c:pt>
                <c:pt idx="11">
                  <c:v>886.46112497150898</c:v>
                </c:pt>
                <c:pt idx="12">
                  <c:v>908.61071261763573</c:v>
                </c:pt>
                <c:pt idx="13">
                  <c:v>592.39985829591751</c:v>
                </c:pt>
                <c:pt idx="14">
                  <c:v>508.44213956594467</c:v>
                </c:pt>
                <c:pt idx="15">
                  <c:v>544.62875116616488</c:v>
                </c:pt>
                <c:pt idx="16">
                  <c:v>865.39557817578316</c:v>
                </c:pt>
                <c:pt idx="17">
                  <c:v>841.88000473380089</c:v>
                </c:pt>
                <c:pt idx="18">
                  <c:v>1053.7522730827329</c:v>
                </c:pt>
                <c:pt idx="19">
                  <c:v>804.32558646798134</c:v>
                </c:pt>
                <c:pt idx="20">
                  <c:v>838.51227390021086</c:v>
                </c:pt>
                <c:pt idx="21">
                  <c:v>638.9627540409565</c:v>
                </c:pt>
                <c:pt idx="22">
                  <c:v>1533.3593032509091</c:v>
                </c:pt>
                <c:pt idx="23">
                  <c:v>914.43010559678078</c:v>
                </c:pt>
                <c:pt idx="24">
                  <c:v>1074.766739487648</c:v>
                </c:pt>
                <c:pt idx="25">
                  <c:v>1201.5333396494391</c:v>
                </c:pt>
                <c:pt idx="26">
                  <c:v>1261.4116010665889</c:v>
                </c:pt>
                <c:pt idx="27">
                  <c:v>1060.999773651361</c:v>
                </c:pt>
                <c:pt idx="28">
                  <c:v>724.02481731772423</c:v>
                </c:pt>
                <c:pt idx="29">
                  <c:v>733.1699720621109</c:v>
                </c:pt>
                <c:pt idx="30">
                  <c:v>953.39359845221043</c:v>
                </c:pt>
                <c:pt idx="31">
                  <c:v>660.90346284210682</c:v>
                </c:pt>
                <c:pt idx="32">
                  <c:v>942.97467297315598</c:v>
                </c:pt>
                <c:pt idx="33">
                  <c:v>1073.7087097167971</c:v>
                </c:pt>
                <c:pt idx="34">
                  <c:v>497.58632400631899</c:v>
                </c:pt>
                <c:pt idx="35">
                  <c:v>893.04030258953571</c:v>
                </c:pt>
                <c:pt idx="36">
                  <c:v>929.19585613906384</c:v>
                </c:pt>
                <c:pt idx="37">
                  <c:v>780.82946139574051</c:v>
                </c:pt>
                <c:pt idx="38">
                  <c:v>835.16604945808649</c:v>
                </c:pt>
                <c:pt idx="39">
                  <c:v>1302.602945044637</c:v>
                </c:pt>
                <c:pt idx="40">
                  <c:v>886.21837101876736</c:v>
                </c:pt>
                <c:pt idx="41">
                  <c:v>691.22536966949701</c:v>
                </c:pt>
                <c:pt idx="42">
                  <c:v>873.48094335198402</c:v>
                </c:pt>
                <c:pt idx="43">
                  <c:v>1317.1175595968959</c:v>
                </c:pt>
                <c:pt idx="44">
                  <c:v>618.74882465600967</c:v>
                </c:pt>
                <c:pt idx="45">
                  <c:v>1100.681188836694</c:v>
                </c:pt>
                <c:pt idx="46">
                  <c:v>760.59325121343136</c:v>
                </c:pt>
                <c:pt idx="47">
                  <c:v>775.82725262641907</c:v>
                </c:pt>
                <c:pt idx="48">
                  <c:v>685.66220588237047</c:v>
                </c:pt>
                <c:pt idx="49">
                  <c:v>416.30047082155937</c:v>
                </c:pt>
                <c:pt idx="50">
                  <c:v>735.59516368061304</c:v>
                </c:pt>
                <c:pt idx="51">
                  <c:v>572.12356249988079</c:v>
                </c:pt>
                <c:pt idx="52">
                  <c:v>718.68059892207384</c:v>
                </c:pt>
                <c:pt idx="53">
                  <c:v>1064.134287372231</c:v>
                </c:pt>
                <c:pt idx="54">
                  <c:v>712.4233510196209</c:v>
                </c:pt>
                <c:pt idx="55">
                  <c:v>1760.3732378035779</c:v>
                </c:pt>
                <c:pt idx="56">
                  <c:v>1004.795964039862</c:v>
                </c:pt>
                <c:pt idx="57">
                  <c:v>647.28854689002037</c:v>
                </c:pt>
                <c:pt idx="58">
                  <c:v>746.69867588579655</c:v>
                </c:pt>
                <c:pt idx="59">
                  <c:v>598.02926702797413</c:v>
                </c:pt>
                <c:pt idx="60">
                  <c:v>1247.692745119333</c:v>
                </c:pt>
                <c:pt idx="61">
                  <c:v>1240.67189783603</c:v>
                </c:pt>
                <c:pt idx="62">
                  <c:v>1028.0237731486559</c:v>
                </c:pt>
                <c:pt idx="63">
                  <c:v>623.89321653544903</c:v>
                </c:pt>
                <c:pt idx="64">
                  <c:v>609.3594976067543</c:v>
                </c:pt>
                <c:pt idx="65">
                  <c:v>1028.0410427749159</c:v>
                </c:pt>
                <c:pt idx="66">
                  <c:v>856.67372055351734</c:v>
                </c:pt>
                <c:pt idx="67">
                  <c:v>860.43281884491444</c:v>
                </c:pt>
                <c:pt idx="68">
                  <c:v>1403.384516336024</c:v>
                </c:pt>
                <c:pt idx="69">
                  <c:v>1322.7175650149579</c:v>
                </c:pt>
                <c:pt idx="70">
                  <c:v>979.08022486418486</c:v>
                </c:pt>
                <c:pt idx="71">
                  <c:v>1010.515280900523</c:v>
                </c:pt>
                <c:pt idx="72">
                  <c:v>807.82766994647682</c:v>
                </c:pt>
                <c:pt idx="73">
                  <c:v>995.84565645456314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13-410B-AE56-F208DEC53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150160"/>
        <c:axId val="855800304"/>
      </c:scatterChart>
      <c:valAx>
        <c:axId val="86815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00304"/>
        <c:crosses val="autoZero"/>
        <c:crossBetween val="midCat"/>
      </c:valAx>
      <c:valAx>
        <c:axId val="85580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15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Time_Series!$C$1</c:f>
              <c:strCache>
                <c:ptCount val="1"/>
                <c:pt idx="0">
                  <c:v>Annual Max Daily (mm)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046303587051618E-2"/>
                  <c:y val="0.194685403907844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Time_Series!$A$2:$A$75</c:f>
              <c:numCache>
                <c:formatCode>General</c:formatCode>
                <c:ptCount val="74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</c:numCache>
            </c:numRef>
          </c:xVal>
          <c:yVal>
            <c:numRef>
              <c:f>Time_Series!$C$2:$C$75</c:f>
              <c:numCache>
                <c:formatCode>General</c:formatCode>
                <c:ptCount val="74"/>
                <c:pt idx="0">
                  <c:v>54.157314300537109</c:v>
                </c:pt>
                <c:pt idx="1">
                  <c:v>114.3768844604492</c:v>
                </c:pt>
                <c:pt idx="2">
                  <c:v>49.771389007568359</c:v>
                </c:pt>
                <c:pt idx="3">
                  <c:v>136.77336120605469</c:v>
                </c:pt>
                <c:pt idx="4">
                  <c:v>105.78924560546881</c:v>
                </c:pt>
                <c:pt idx="5">
                  <c:v>75.934768676757813</c:v>
                </c:pt>
                <c:pt idx="6">
                  <c:v>38.031524658203118</c:v>
                </c:pt>
                <c:pt idx="7">
                  <c:v>215.5050048828125</c:v>
                </c:pt>
                <c:pt idx="8">
                  <c:v>106.4899215698242</c:v>
                </c:pt>
                <c:pt idx="9">
                  <c:v>65.192619323730469</c:v>
                </c:pt>
                <c:pt idx="10">
                  <c:v>146.8580322265625</c:v>
                </c:pt>
                <c:pt idx="11">
                  <c:v>87.350830078125</c:v>
                </c:pt>
                <c:pt idx="12">
                  <c:v>100.8904266357422</c:v>
                </c:pt>
                <c:pt idx="13">
                  <c:v>73.3883056640625</c:v>
                </c:pt>
                <c:pt idx="14">
                  <c:v>54.213081359863281</c:v>
                </c:pt>
                <c:pt idx="15">
                  <c:v>76.876625061035156</c:v>
                </c:pt>
                <c:pt idx="16">
                  <c:v>139.02540588378909</c:v>
                </c:pt>
                <c:pt idx="17">
                  <c:v>193.36863708496091</c:v>
                </c:pt>
                <c:pt idx="18">
                  <c:v>178.44744873046881</c:v>
                </c:pt>
                <c:pt idx="19">
                  <c:v>46.871173858642578</c:v>
                </c:pt>
                <c:pt idx="20">
                  <c:v>53.036933898925781</c:v>
                </c:pt>
                <c:pt idx="21">
                  <c:v>109.5212326049805</c:v>
                </c:pt>
                <c:pt idx="22">
                  <c:v>176.04338073730469</c:v>
                </c:pt>
                <c:pt idx="23">
                  <c:v>185.85920715332031</c:v>
                </c:pt>
                <c:pt idx="24">
                  <c:v>145.66639709472659</c:v>
                </c:pt>
                <c:pt idx="25">
                  <c:v>111.84124755859381</c:v>
                </c:pt>
                <c:pt idx="26">
                  <c:v>160.52439880371091</c:v>
                </c:pt>
                <c:pt idx="27">
                  <c:v>150.59381103515619</c:v>
                </c:pt>
                <c:pt idx="28">
                  <c:v>122.4096603393555</c:v>
                </c:pt>
                <c:pt idx="29">
                  <c:v>76.435554504394531</c:v>
                </c:pt>
                <c:pt idx="30">
                  <c:v>78.915367126464844</c:v>
                </c:pt>
                <c:pt idx="31">
                  <c:v>91.511878967285156</c:v>
                </c:pt>
                <c:pt idx="32">
                  <c:v>168.13600158691409</c:v>
                </c:pt>
                <c:pt idx="33">
                  <c:v>171.45854187011719</c:v>
                </c:pt>
                <c:pt idx="34">
                  <c:v>77.230850219726563</c:v>
                </c:pt>
                <c:pt idx="35">
                  <c:v>234.0330505371094</c:v>
                </c:pt>
                <c:pt idx="36">
                  <c:v>300.23431396484381</c:v>
                </c:pt>
                <c:pt idx="37">
                  <c:v>147.52168273925781</c:v>
                </c:pt>
                <c:pt idx="38">
                  <c:v>69.128929138183594</c:v>
                </c:pt>
                <c:pt idx="39">
                  <c:v>103.6855087280273</c:v>
                </c:pt>
                <c:pt idx="40">
                  <c:v>155.31294250488281</c:v>
                </c:pt>
                <c:pt idx="41">
                  <c:v>74.351173400878906</c:v>
                </c:pt>
                <c:pt idx="42">
                  <c:v>136.8251953125</c:v>
                </c:pt>
                <c:pt idx="43">
                  <c:v>197.0416564941406</c:v>
                </c:pt>
                <c:pt idx="44">
                  <c:v>75.766693115234375</c:v>
                </c:pt>
                <c:pt idx="45">
                  <c:v>119.3086776733398</c:v>
                </c:pt>
                <c:pt idx="46">
                  <c:v>82.992240905761719</c:v>
                </c:pt>
                <c:pt idx="47">
                  <c:v>69.755790710449219</c:v>
                </c:pt>
                <c:pt idx="48">
                  <c:v>120.5314407348633</c:v>
                </c:pt>
                <c:pt idx="49">
                  <c:v>64.722198486328125</c:v>
                </c:pt>
                <c:pt idx="50">
                  <c:v>139.58024597167969</c:v>
                </c:pt>
                <c:pt idx="51">
                  <c:v>85.4158935546875</c:v>
                </c:pt>
                <c:pt idx="52">
                  <c:v>77.027809143066406</c:v>
                </c:pt>
                <c:pt idx="53">
                  <c:v>180.3763427734375</c:v>
                </c:pt>
                <c:pt idx="54">
                  <c:v>208.32313537597659</c:v>
                </c:pt>
                <c:pt idx="55">
                  <c:v>141.53855895996091</c:v>
                </c:pt>
                <c:pt idx="56">
                  <c:v>241.0697326660156</c:v>
                </c:pt>
                <c:pt idx="57">
                  <c:v>88.850601196289063</c:v>
                </c:pt>
                <c:pt idx="58">
                  <c:v>89.458869934082031</c:v>
                </c:pt>
                <c:pt idx="59">
                  <c:v>107.2655029296875</c:v>
                </c:pt>
                <c:pt idx="60">
                  <c:v>187.427734375</c:v>
                </c:pt>
                <c:pt idx="61">
                  <c:v>252.88401794433591</c:v>
                </c:pt>
                <c:pt idx="62">
                  <c:v>81.497024536132813</c:v>
                </c:pt>
                <c:pt idx="63">
                  <c:v>66.976654052734375</c:v>
                </c:pt>
                <c:pt idx="64">
                  <c:v>123.436882019043</c:v>
                </c:pt>
                <c:pt idx="65">
                  <c:v>129.34568786621091</c:v>
                </c:pt>
                <c:pt idx="66">
                  <c:v>216.55467224121091</c:v>
                </c:pt>
                <c:pt idx="67">
                  <c:v>107.9108963012695</c:v>
                </c:pt>
                <c:pt idx="68">
                  <c:v>85.306716918945313</c:v>
                </c:pt>
                <c:pt idx="69">
                  <c:v>288.07089233398438</c:v>
                </c:pt>
                <c:pt idx="70">
                  <c:v>102.708251953125</c:v>
                </c:pt>
                <c:pt idx="71">
                  <c:v>71.24322509765625</c:v>
                </c:pt>
                <c:pt idx="72">
                  <c:v>165.86981201171881</c:v>
                </c:pt>
                <c:pt idx="73">
                  <c:v>114.8228759765625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76-4081-82DD-3B83BB6F2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8150160"/>
        <c:axId val="855800304"/>
      </c:scatterChart>
      <c:valAx>
        <c:axId val="86815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00304"/>
        <c:crosses val="autoZero"/>
        <c:crossBetween val="midCat"/>
      </c:valAx>
      <c:valAx>
        <c:axId val="85580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15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DDF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DDF_Curves!$B$1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DDF_Curves!$A$2:$A$9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30</c:v>
                </c:pt>
              </c:numCache>
            </c:numRef>
          </c:xVal>
          <c:yVal>
            <c:numRef>
              <c:f>DDF_Curves!$B$2:$B$9</c:f>
              <c:numCache>
                <c:formatCode>General</c:formatCode>
                <c:ptCount val="8"/>
                <c:pt idx="0">
                  <c:v>115.27788988757921</c:v>
                </c:pt>
                <c:pt idx="1">
                  <c:v>160.0970459620805</c:v>
                </c:pt>
                <c:pt idx="2">
                  <c:v>182.41401737409669</c:v>
                </c:pt>
                <c:pt idx="3">
                  <c:v>211.835755405952</c:v>
                </c:pt>
                <c:pt idx="4">
                  <c:v>244.04527156036241</c:v>
                </c:pt>
                <c:pt idx="5">
                  <c:v>286.06136017485221</c:v>
                </c:pt>
                <c:pt idx="6">
                  <c:v>340.78439587363641</c:v>
                </c:pt>
                <c:pt idx="7">
                  <c:v>461.69856117994908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26-43E5-91F1-00CB4F9B5B67}"/>
            </c:ext>
          </c:extLst>
        </c:ser>
        <c:ser>
          <c:idx val="1"/>
          <c:order val="1"/>
          <c:tx>
            <c:strRef>
              <c:f>DDF_Curves!$C$1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DDF_Curves!$A$2:$A$9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30</c:v>
                </c:pt>
              </c:numCache>
            </c:numRef>
          </c:xVal>
          <c:yVal>
            <c:numRef>
              <c:f>DDF_Curves!$C$2:$C$9</c:f>
              <c:numCache>
                <c:formatCode>General</c:formatCode>
                <c:ptCount val="8"/>
                <c:pt idx="0">
                  <c:v>167.04676028788151</c:v>
                </c:pt>
                <c:pt idx="1">
                  <c:v>231.37534064070979</c:v>
                </c:pt>
                <c:pt idx="2">
                  <c:v>261.1529973571113</c:v>
                </c:pt>
                <c:pt idx="3">
                  <c:v>301.04164933302582</c:v>
                </c:pt>
                <c:pt idx="4">
                  <c:v>340.40824306901231</c:v>
                </c:pt>
                <c:pt idx="5">
                  <c:v>402.5383223358408</c:v>
                </c:pt>
                <c:pt idx="6">
                  <c:v>465.89694347854669</c:v>
                </c:pt>
                <c:pt idx="7">
                  <c:v>630.2376048878649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26-43E5-91F1-00CB4F9B5B67}"/>
            </c:ext>
          </c:extLst>
        </c:ser>
        <c:ser>
          <c:idx val="2"/>
          <c:order val="2"/>
          <c:tx>
            <c:strRef>
              <c:f>DDF_Curves!$D$1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DDF_Curves!$A$2:$A$9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30</c:v>
                </c:pt>
              </c:numCache>
            </c:numRef>
          </c:xVal>
          <c:yVal>
            <c:numRef>
              <c:f>DDF_Curves!$D$2:$D$9</c:f>
              <c:numCache>
                <c:formatCode>General</c:formatCode>
                <c:ptCount val="8"/>
                <c:pt idx="0">
                  <c:v>201.3222570509279</c:v>
                </c:pt>
                <c:pt idx="1">
                  <c:v>278.56777384702832</c:v>
                </c:pt>
                <c:pt idx="2">
                  <c:v>313.2850534105815</c:v>
                </c:pt>
                <c:pt idx="3">
                  <c:v>360.1037131736968</c:v>
                </c:pt>
                <c:pt idx="4">
                  <c:v>404.20891502655547</c:v>
                </c:pt>
                <c:pt idx="5">
                  <c:v>479.65620628130802</c:v>
                </c:pt>
                <c:pt idx="6">
                  <c:v>548.73233639497312</c:v>
                </c:pt>
                <c:pt idx="7">
                  <c:v>741.8251168885879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26-43E5-91F1-00CB4F9B5B67}"/>
            </c:ext>
          </c:extLst>
        </c:ser>
        <c:ser>
          <c:idx val="3"/>
          <c:order val="3"/>
          <c:tx>
            <c:strRef>
              <c:f>DDF_Curves!$E$1</c:f>
              <c:strCache>
                <c:ptCount val="1"/>
                <c:pt idx="0">
                  <c:v>25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DDF_Curves!$A$2:$A$9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30</c:v>
                </c:pt>
              </c:numCache>
            </c:numRef>
          </c:xVal>
          <c:yVal>
            <c:numRef>
              <c:f>DDF_Curves!$E$2:$E$9</c:f>
              <c:numCache>
                <c:formatCode>General</c:formatCode>
                <c:ptCount val="8"/>
                <c:pt idx="0">
                  <c:v>244.62943807361731</c:v>
                </c:pt>
                <c:pt idx="1">
                  <c:v>338.19553830792682</c:v>
                </c:pt>
                <c:pt idx="2">
                  <c:v>379.15404443354242</c:v>
                </c:pt>
                <c:pt idx="3">
                  <c:v>434.72878740688037</c:v>
                </c:pt>
                <c:pt idx="4">
                  <c:v>484.82123317721391</c:v>
                </c:pt>
                <c:pt idx="5">
                  <c:v>577.09485708195268</c:v>
                </c:pt>
                <c:pt idx="6">
                  <c:v>653.39507493724727</c:v>
                </c:pt>
                <c:pt idx="7">
                  <c:v>882.81623411426062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26-43E5-91F1-00CB4F9B5B67}"/>
            </c:ext>
          </c:extLst>
        </c:ser>
        <c:ser>
          <c:idx val="4"/>
          <c:order val="4"/>
          <c:tx>
            <c:strRef>
              <c:f>DDF_Curves!$F$1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DDF_Curves!$A$2:$A$9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30</c:v>
                </c:pt>
              </c:numCache>
            </c:numRef>
          </c:xVal>
          <c:yVal>
            <c:numRef>
              <c:f>DDF_Curves!$F$2:$F$9</c:f>
              <c:numCache>
                <c:formatCode>General</c:formatCode>
                <c:ptCount val="8"/>
                <c:pt idx="0">
                  <c:v>276.75717891159991</c:v>
                </c:pt>
                <c:pt idx="1">
                  <c:v>382.43082026600058</c:v>
                </c:pt>
                <c:pt idx="2">
                  <c:v>428.01942479012479</c:v>
                </c:pt>
                <c:pt idx="3">
                  <c:v>490.08993048665792</c:v>
                </c:pt>
                <c:pt idx="4">
                  <c:v>544.62405582079464</c:v>
                </c:pt>
                <c:pt idx="5">
                  <c:v>649.38041450222613</c:v>
                </c:pt>
                <c:pt idx="6">
                  <c:v>731.03987332571762</c:v>
                </c:pt>
                <c:pt idx="7">
                  <c:v>987.41149909608498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F26-43E5-91F1-00CB4F9B5B67}"/>
            </c:ext>
          </c:extLst>
        </c:ser>
        <c:ser>
          <c:idx val="5"/>
          <c:order val="5"/>
          <c:tx>
            <c:strRef>
              <c:f>DDF_Curves!$G$1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DDF_Curves!$A$2:$A$9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30</c:v>
                </c:pt>
              </c:numCache>
            </c:numRef>
          </c:xVal>
          <c:yVal>
            <c:numRef>
              <c:f>DDF_Curves!$G$2:$G$9</c:f>
              <c:numCache>
                <c:formatCode>General</c:formatCode>
                <c:ptCount val="8"/>
                <c:pt idx="0">
                  <c:v>308.64769355435311</c:v>
                </c:pt>
                <c:pt idx="1">
                  <c:v>426.33947584574508</c:v>
                </c:pt>
                <c:pt idx="2">
                  <c:v>476.52399084859371</c:v>
                </c:pt>
                <c:pt idx="3">
                  <c:v>545.042295576019</c:v>
                </c:pt>
                <c:pt idx="4">
                  <c:v>603.98530380927434</c:v>
                </c:pt>
                <c:pt idx="5">
                  <c:v>721.13222671323251</c:v>
                </c:pt>
                <c:pt idx="6">
                  <c:v>808.1113547108564</c:v>
                </c:pt>
                <c:pt idx="7">
                  <c:v>1091.234449059689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F26-43E5-91F1-00CB4F9B5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6487328"/>
        <c:axId val="855911184"/>
      </c:scatterChart>
      <c:valAx>
        <c:axId val="90648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911184"/>
        <c:crosses val="autoZero"/>
        <c:crossBetween val="midCat"/>
      </c:valAx>
      <c:valAx>
        <c:axId val="85591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487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IDF Curves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IDF_Curves!$B$1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IDF_Curves!$A$2:$A$9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30</c:v>
                </c:pt>
              </c:numCache>
            </c:numRef>
          </c:xVal>
          <c:yVal>
            <c:numRef>
              <c:f>IDF_Curves!$B$2:$B$9</c:f>
              <c:numCache>
                <c:formatCode>General</c:formatCode>
                <c:ptCount val="8"/>
                <c:pt idx="0">
                  <c:v>4.8032454119824664</c:v>
                </c:pt>
                <c:pt idx="1">
                  <c:v>3.335355124210011</c:v>
                </c:pt>
                <c:pt idx="2">
                  <c:v>2.5335280190846761</c:v>
                </c:pt>
                <c:pt idx="3">
                  <c:v>1.765297961716267</c:v>
                </c:pt>
                <c:pt idx="4">
                  <c:v>1.4526504259545381</c:v>
                </c:pt>
                <c:pt idx="5">
                  <c:v>1.1919223340618841</c:v>
                </c:pt>
                <c:pt idx="6">
                  <c:v>0.94662332187121212</c:v>
                </c:pt>
                <c:pt idx="7">
                  <c:v>0.64124800163881812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67-4ACB-A6CA-3811F67BB3D9}"/>
            </c:ext>
          </c:extLst>
        </c:ser>
        <c:ser>
          <c:idx val="1"/>
          <c:order val="1"/>
          <c:tx>
            <c:strRef>
              <c:f>IDF_Curves!$C$1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IDF_Curves!$A$2:$A$9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30</c:v>
                </c:pt>
              </c:numCache>
            </c:numRef>
          </c:xVal>
          <c:yVal>
            <c:numRef>
              <c:f>IDF_Curves!$C$2:$C$9</c:f>
              <c:numCache>
                <c:formatCode>General</c:formatCode>
                <c:ptCount val="8"/>
                <c:pt idx="0">
                  <c:v>6.960281678661727</c:v>
                </c:pt>
                <c:pt idx="1">
                  <c:v>4.820319596681454</c:v>
                </c:pt>
                <c:pt idx="2">
                  <c:v>3.627124963293213</c:v>
                </c:pt>
                <c:pt idx="3">
                  <c:v>2.508680411108549</c:v>
                </c:pt>
                <c:pt idx="4">
                  <c:v>2.0262395420774539</c:v>
                </c:pt>
                <c:pt idx="5">
                  <c:v>1.67724300973267</c:v>
                </c:pt>
                <c:pt idx="6">
                  <c:v>1.294158176329296</c:v>
                </c:pt>
                <c:pt idx="7">
                  <c:v>0.87533000678870121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67-4ACB-A6CA-3811F67BB3D9}"/>
            </c:ext>
          </c:extLst>
        </c:ser>
        <c:ser>
          <c:idx val="2"/>
          <c:order val="2"/>
          <c:tx>
            <c:strRef>
              <c:f>IDF_Curves!$D$1</c:f>
              <c:strCache>
                <c:ptCount val="1"/>
                <c:pt idx="0">
                  <c:v>10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IDF_Curves!$A$2:$A$9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30</c:v>
                </c:pt>
              </c:numCache>
            </c:numRef>
          </c:xVal>
          <c:yVal>
            <c:numRef>
              <c:f>IDF_Curves!$D$2:$D$9</c:f>
              <c:numCache>
                <c:formatCode>General</c:formatCode>
                <c:ptCount val="8"/>
                <c:pt idx="0">
                  <c:v>8.3884273771219942</c:v>
                </c:pt>
                <c:pt idx="1">
                  <c:v>5.8034952884797564</c:v>
                </c:pt>
                <c:pt idx="2">
                  <c:v>4.3511812973691866</c:v>
                </c:pt>
                <c:pt idx="3">
                  <c:v>3.0008642764474729</c:v>
                </c:pt>
                <c:pt idx="4">
                  <c:v>2.4060054465866401</c:v>
                </c:pt>
                <c:pt idx="5">
                  <c:v>1.998567526172117</c:v>
                </c:pt>
                <c:pt idx="6">
                  <c:v>1.524256489986036</c:v>
                </c:pt>
                <c:pt idx="7">
                  <c:v>1.030312662345261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67-4ACB-A6CA-3811F67BB3D9}"/>
            </c:ext>
          </c:extLst>
        </c:ser>
        <c:ser>
          <c:idx val="3"/>
          <c:order val="3"/>
          <c:tx>
            <c:strRef>
              <c:f>IDF_Curves!$E$1</c:f>
              <c:strCache>
                <c:ptCount val="1"/>
                <c:pt idx="0">
                  <c:v>25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IDF_Curves!$A$2:$A$9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30</c:v>
                </c:pt>
              </c:numCache>
            </c:numRef>
          </c:xVal>
          <c:yVal>
            <c:numRef>
              <c:f>IDF_Curves!$E$2:$E$9</c:f>
              <c:numCache>
                <c:formatCode>General</c:formatCode>
                <c:ptCount val="8"/>
                <c:pt idx="0">
                  <c:v>10.192893253067391</c:v>
                </c:pt>
                <c:pt idx="1">
                  <c:v>7.0457403814151407</c:v>
                </c:pt>
                <c:pt idx="2">
                  <c:v>5.2660283949103111</c:v>
                </c:pt>
                <c:pt idx="3">
                  <c:v>3.6227398950573368</c:v>
                </c:pt>
                <c:pt idx="4">
                  <c:v>2.8858406736738922</c:v>
                </c:pt>
                <c:pt idx="5">
                  <c:v>2.4045619045081361</c:v>
                </c:pt>
                <c:pt idx="6">
                  <c:v>1.814986319270131</c:v>
                </c:pt>
                <c:pt idx="7">
                  <c:v>1.226133658492029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67-4ACB-A6CA-3811F67BB3D9}"/>
            </c:ext>
          </c:extLst>
        </c:ser>
        <c:ser>
          <c:idx val="4"/>
          <c:order val="4"/>
          <c:tx>
            <c:strRef>
              <c:f>IDF_Curves!$F$1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IDF_Curves!$A$2:$A$9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30</c:v>
                </c:pt>
              </c:numCache>
            </c:numRef>
          </c:xVal>
          <c:yVal>
            <c:numRef>
              <c:f>IDF_Curves!$F$2:$F$9</c:f>
              <c:numCache>
                <c:formatCode>General</c:formatCode>
                <c:ptCount val="8"/>
                <c:pt idx="0">
                  <c:v>11.53154912131666</c:v>
                </c:pt>
                <c:pt idx="1">
                  <c:v>7.9673087555416799</c:v>
                </c:pt>
                <c:pt idx="2">
                  <c:v>5.9447142331961773</c:v>
                </c:pt>
                <c:pt idx="3">
                  <c:v>4.0840827540554816</c:v>
                </c:pt>
                <c:pt idx="4">
                  <c:v>3.2418098560761579</c:v>
                </c:pt>
                <c:pt idx="5">
                  <c:v>2.705751727092609</c:v>
                </c:pt>
                <c:pt idx="6">
                  <c:v>2.0306663147936601</c:v>
                </c:pt>
                <c:pt idx="7">
                  <c:v>1.3714048598556741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367-4ACB-A6CA-3811F67BB3D9}"/>
            </c:ext>
          </c:extLst>
        </c:ser>
        <c:ser>
          <c:idx val="5"/>
          <c:order val="5"/>
          <c:tx>
            <c:strRef>
              <c:f>IDF_Curves!$G$1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IDF_Curves!$A$2:$A$9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  <c:pt idx="6">
                  <c:v>15</c:v>
                </c:pt>
                <c:pt idx="7">
                  <c:v>30</c:v>
                </c:pt>
              </c:numCache>
            </c:numRef>
          </c:xVal>
          <c:yVal>
            <c:numRef>
              <c:f>IDF_Curves!$G$2:$G$9</c:f>
              <c:numCache>
                <c:formatCode>General</c:formatCode>
                <c:ptCount val="8"/>
                <c:pt idx="0">
                  <c:v>12.860320564764709</c:v>
                </c:pt>
                <c:pt idx="1">
                  <c:v>8.8820724134530238</c:v>
                </c:pt>
                <c:pt idx="2">
                  <c:v>6.618388761786024</c:v>
                </c:pt>
                <c:pt idx="3">
                  <c:v>4.542019129800158</c:v>
                </c:pt>
                <c:pt idx="4">
                  <c:v>3.5951506179123469</c:v>
                </c:pt>
                <c:pt idx="5">
                  <c:v>3.0047176113051348</c:v>
                </c:pt>
                <c:pt idx="6">
                  <c:v>2.2447537630857122</c:v>
                </c:pt>
                <c:pt idx="7">
                  <c:v>1.515603401471791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367-4ACB-A6CA-3811F67BB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012240"/>
        <c:axId val="855868464"/>
      </c:scatterChart>
      <c:valAx>
        <c:axId val="90701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68464"/>
        <c:crosses val="autoZero"/>
        <c:crossBetween val="midCat"/>
      </c:valAx>
      <c:valAx>
        <c:axId val="85586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012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Monthly_Average!$B$1</c:f>
              <c:strCache>
                <c:ptCount val="1"/>
                <c:pt idx="0">
                  <c:v>Monthly Average (mm)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Monthly_Average!$A$2:$A$13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Monthly_Average!$B$2:$B$13</c:f>
              <c:numCache>
                <c:formatCode>General</c:formatCode>
                <c:ptCount val="12"/>
                <c:pt idx="0">
                  <c:v>0.1095918098102472</c:v>
                </c:pt>
                <c:pt idx="1">
                  <c:v>3.5623750265906841E-2</c:v>
                </c:pt>
                <c:pt idx="2">
                  <c:v>5.834620532359678E-2</c:v>
                </c:pt>
                <c:pt idx="3">
                  <c:v>4.8430289855008718E-2</c:v>
                </c:pt>
                <c:pt idx="4">
                  <c:v>0.1835299360589388</c:v>
                </c:pt>
                <c:pt idx="5">
                  <c:v>3.2867126454137741</c:v>
                </c:pt>
                <c:pt idx="6">
                  <c:v>9.320749446703406</c:v>
                </c:pt>
                <c:pt idx="7">
                  <c:v>9.7792034529916023</c:v>
                </c:pt>
                <c:pt idx="8">
                  <c:v>5.2389696800191929</c:v>
                </c:pt>
                <c:pt idx="9">
                  <c:v>0.6638732191691632</c:v>
                </c:pt>
                <c:pt idx="10">
                  <c:v>0.30039558871775057</c:v>
                </c:pt>
                <c:pt idx="11">
                  <c:v>9.9458927923607221E-2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D-48EF-9EE0-B8363E6E8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855504"/>
        <c:axId val="855821424"/>
      </c:barChart>
      <c:catAx>
        <c:axId val="86985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821424"/>
        <c:crosses val="autoZero"/>
        <c:auto val="1"/>
        <c:lblAlgn val="ctr"/>
        <c:lblOffset val="100"/>
        <c:noMultiLvlLbl val="0"/>
      </c:catAx>
      <c:valAx>
        <c:axId val="85582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85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15</xdr:row>
      <xdr:rowOff>167640</xdr:rowOff>
    </xdr:from>
    <xdr:to>
      <xdr:col>11</xdr:col>
      <xdr:colOff>403860</xdr:colOff>
      <xdr:row>30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1E7FF9-E21B-4062-909A-CCACC8FB6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53340</xdr:colOff>
      <xdr:row>0</xdr:row>
      <xdr:rowOff>76200</xdr:rowOff>
    </xdr:from>
    <xdr:to>
      <xdr:col>11</xdr:col>
      <xdr:colOff>358140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F09FE9A-CE55-46A6-A0B5-05D796AD9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502920</xdr:colOff>
      <xdr:row>0</xdr:row>
      <xdr:rowOff>83820</xdr:rowOff>
    </xdr:from>
    <xdr:to>
      <xdr:col>19</xdr:col>
      <xdr:colOff>198120</xdr:colOff>
      <xdr:row>15</xdr:row>
      <xdr:rowOff>83820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A02BE6-C324-4E4F-8CF7-794B98B01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9</xdr:row>
      <xdr:rowOff>160020</xdr:rowOff>
    </xdr:from>
    <xdr:to>
      <xdr:col>6</xdr:col>
      <xdr:colOff>746760</xdr:colOff>
      <xdr:row>27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89F60-C8D8-98FF-155E-8101310E8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9</xdr:row>
      <xdr:rowOff>68580</xdr:rowOff>
    </xdr:from>
    <xdr:to>
      <xdr:col>7</xdr:col>
      <xdr:colOff>53340</xdr:colOff>
      <xdr:row>30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BEA085-13B3-4665-BF06-F9BEEA15B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0</xdr:row>
      <xdr:rowOff>76200</xdr:rowOff>
    </xdr:from>
    <xdr:to>
      <xdr:col>10</xdr:col>
      <xdr:colOff>220980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BC5BED-E0C8-CAD8-AFB7-ECC50591E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1D88D-A4EA-4756-93E3-3C98EDEA2479}" name="Table1" displayName="Table1" ref="A1:E5" totalsRowShown="0" headerRowDxfId="0" headerRowBorderDxfId="7" tableBorderDxfId="8" totalsRowBorderDxfId="6">
  <autoFilter ref="A1:E5" xr:uid="{7291D88D-A4EA-4756-93E3-3C98EDEA2479}"/>
  <tableColumns count="5">
    <tableColumn id="1" xr3:uid="{5D43553C-8945-4ACD-8441-C5648AB66AF3}" name="Season" dataDxfId="5"/>
    <tableColumn id="2" xr3:uid="{57D205B9-7027-4C86-9E14-75508BC85B62}" name="Mean (mm)" dataDxfId="4"/>
    <tableColumn id="3" xr3:uid="{25AF874F-659E-4A3D-9FD5-3C638BBB4A94}" name="Standard Deviation (mm)" dataDxfId="3"/>
    <tableColumn id="4" xr3:uid="{ECD50B3C-711D-4BD7-8844-80E1940EF96D}" name="Coefficient of Variation" dataDxfId="2"/>
    <tableColumn id="5" xr3:uid="{CD660D6B-1658-45E9-AEB7-C5E45E7F0016}" name="% Contribution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workbookViewId="0">
      <selection activeCell="O21" sqref="O21"/>
    </sheetView>
  </sheetViews>
  <sheetFormatPr defaultRowHeight="14.4" x14ac:dyDescent="0.3"/>
  <cols>
    <col min="1" max="1" width="9.77734375" bestFit="1" customWidth="1"/>
    <col min="2" max="2" width="16" bestFit="1" customWidth="1"/>
    <col min="3" max="3" width="19.88671875" bestFit="1" customWidth="1"/>
    <col min="4" max="4" width="18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1951</v>
      </c>
      <c r="B2">
        <v>367.59922873973852</v>
      </c>
      <c r="C2">
        <v>54.157314300537109</v>
      </c>
      <c r="D2">
        <v>363.5046638250351</v>
      </c>
    </row>
    <row r="3" spans="1:4" x14ac:dyDescent="0.3">
      <c r="A3">
        <v>1952</v>
      </c>
      <c r="B3">
        <v>1086.0933748632669</v>
      </c>
      <c r="C3">
        <v>114.3768844604492</v>
      </c>
      <c r="D3">
        <v>1071.7160396724939</v>
      </c>
    </row>
    <row r="4" spans="1:4" x14ac:dyDescent="0.3">
      <c r="A4">
        <v>1953</v>
      </c>
      <c r="B4">
        <v>520.68925146758556</v>
      </c>
      <c r="C4">
        <v>49.771389007568359</v>
      </c>
      <c r="D4">
        <v>511.43903432786459</v>
      </c>
    </row>
    <row r="5" spans="1:4" x14ac:dyDescent="0.3">
      <c r="A5">
        <v>1954</v>
      </c>
      <c r="B5">
        <v>1117.89452008903</v>
      </c>
      <c r="C5">
        <v>136.77336120605469</v>
      </c>
      <c r="D5">
        <v>1117.89452008903</v>
      </c>
    </row>
    <row r="6" spans="1:4" x14ac:dyDescent="0.3">
      <c r="A6">
        <v>1955</v>
      </c>
      <c r="B6">
        <v>886.56552492082119</v>
      </c>
      <c r="C6">
        <v>105.78924560546881</v>
      </c>
      <c r="D6">
        <v>851.12490163743496</v>
      </c>
    </row>
    <row r="7" spans="1:4" x14ac:dyDescent="0.3">
      <c r="A7">
        <v>1956</v>
      </c>
      <c r="B7">
        <v>908.22038398683071</v>
      </c>
      <c r="C7">
        <v>75.934768676757813</v>
      </c>
      <c r="D7">
        <v>686.94213245809078</v>
      </c>
    </row>
    <row r="8" spans="1:4" x14ac:dyDescent="0.3">
      <c r="A8">
        <v>1957</v>
      </c>
      <c r="B8">
        <v>309.28338821232319</v>
      </c>
      <c r="C8">
        <v>38.031524658203118</v>
      </c>
      <c r="D8">
        <v>308.23981411755079</v>
      </c>
    </row>
    <row r="9" spans="1:4" x14ac:dyDescent="0.3">
      <c r="A9">
        <v>1958</v>
      </c>
      <c r="B9">
        <v>1270.1576031595471</v>
      </c>
      <c r="C9">
        <v>215.5050048828125</v>
      </c>
      <c r="D9">
        <v>1227.4683528989549</v>
      </c>
    </row>
    <row r="10" spans="1:4" x14ac:dyDescent="0.3">
      <c r="A10">
        <v>1959</v>
      </c>
      <c r="B10">
        <v>1191.3688398301599</v>
      </c>
      <c r="C10">
        <v>106.4899215698242</v>
      </c>
      <c r="D10">
        <v>1074.6501239836221</v>
      </c>
    </row>
    <row r="11" spans="1:4" x14ac:dyDescent="0.3">
      <c r="A11">
        <v>1960</v>
      </c>
      <c r="B11">
        <v>711.14678864181042</v>
      </c>
      <c r="C11">
        <v>65.192619323730469</v>
      </c>
      <c r="D11">
        <v>696.48824982345104</v>
      </c>
    </row>
    <row r="12" spans="1:4" x14ac:dyDescent="0.3">
      <c r="A12">
        <v>1961</v>
      </c>
      <c r="B12">
        <v>1222.8961376845839</v>
      </c>
      <c r="C12">
        <v>146.8580322265625</v>
      </c>
      <c r="D12">
        <v>1202.754968136549</v>
      </c>
    </row>
    <row r="13" spans="1:4" x14ac:dyDescent="0.3">
      <c r="A13">
        <v>1962</v>
      </c>
      <c r="B13">
        <v>886.46112497150898</v>
      </c>
      <c r="C13">
        <v>87.350830078125</v>
      </c>
      <c r="D13">
        <v>874.7689666301012</v>
      </c>
    </row>
    <row r="14" spans="1:4" x14ac:dyDescent="0.3">
      <c r="A14">
        <v>1963</v>
      </c>
      <c r="B14">
        <v>908.61071261763573</v>
      </c>
      <c r="C14">
        <v>100.8904266357422</v>
      </c>
      <c r="D14">
        <v>802.59821556508541</v>
      </c>
    </row>
    <row r="15" spans="1:4" x14ac:dyDescent="0.3">
      <c r="A15">
        <v>1964</v>
      </c>
      <c r="B15">
        <v>592.39985829591751</v>
      </c>
      <c r="C15">
        <v>73.3883056640625</v>
      </c>
      <c r="D15">
        <v>580.16521281003952</v>
      </c>
    </row>
    <row r="16" spans="1:4" x14ac:dyDescent="0.3">
      <c r="A16">
        <v>1965</v>
      </c>
      <c r="B16">
        <v>508.44213956594467</v>
      </c>
      <c r="C16">
        <v>54.213081359863281</v>
      </c>
      <c r="D16">
        <v>508.44213956594467</v>
      </c>
    </row>
    <row r="17" spans="1:4" x14ac:dyDescent="0.3">
      <c r="A17">
        <v>1966</v>
      </c>
      <c r="B17">
        <v>544.62875116616488</v>
      </c>
      <c r="C17">
        <v>76.876625061035156</v>
      </c>
      <c r="D17">
        <v>446.92309916764498</v>
      </c>
    </row>
    <row r="18" spans="1:4" x14ac:dyDescent="0.3">
      <c r="A18">
        <v>1967</v>
      </c>
      <c r="B18">
        <v>865.39557817578316</v>
      </c>
      <c r="C18">
        <v>139.02540588378909</v>
      </c>
      <c r="D18">
        <v>828.08046507835388</v>
      </c>
    </row>
    <row r="19" spans="1:4" x14ac:dyDescent="0.3">
      <c r="A19">
        <v>1968</v>
      </c>
      <c r="B19">
        <v>841.88000473380089</v>
      </c>
      <c r="C19">
        <v>193.36863708496091</v>
      </c>
      <c r="D19">
        <v>841.88000473380089</v>
      </c>
    </row>
    <row r="20" spans="1:4" x14ac:dyDescent="0.3">
      <c r="A20">
        <v>1969</v>
      </c>
      <c r="B20">
        <v>1053.7522730827329</v>
      </c>
      <c r="C20">
        <v>178.44744873046881</v>
      </c>
      <c r="D20">
        <v>1053.7522730827329</v>
      </c>
    </row>
    <row r="21" spans="1:4" x14ac:dyDescent="0.3">
      <c r="A21">
        <v>1970</v>
      </c>
      <c r="B21">
        <v>804.32558646798134</v>
      </c>
      <c r="C21">
        <v>46.871173858642578</v>
      </c>
      <c r="D21">
        <v>804.32558646798134</v>
      </c>
    </row>
    <row r="22" spans="1:4" x14ac:dyDescent="0.3">
      <c r="A22">
        <v>1971</v>
      </c>
      <c r="B22">
        <v>838.51227390021086</v>
      </c>
      <c r="C22">
        <v>53.036933898925781</v>
      </c>
      <c r="D22">
        <v>826.05007564276457</v>
      </c>
    </row>
    <row r="23" spans="1:4" x14ac:dyDescent="0.3">
      <c r="A23">
        <v>1972</v>
      </c>
      <c r="B23">
        <v>638.9627540409565</v>
      </c>
      <c r="C23">
        <v>109.5212326049805</v>
      </c>
      <c r="D23">
        <v>629.19294825196266</v>
      </c>
    </row>
    <row r="24" spans="1:4" x14ac:dyDescent="0.3">
      <c r="A24">
        <v>1973</v>
      </c>
      <c r="B24">
        <v>1533.3593032509091</v>
      </c>
      <c r="C24">
        <v>176.04338073730469</v>
      </c>
      <c r="D24">
        <v>1512.9701543003321</v>
      </c>
    </row>
    <row r="25" spans="1:4" x14ac:dyDescent="0.3">
      <c r="A25">
        <v>1974</v>
      </c>
      <c r="B25">
        <v>914.43010559678078</v>
      </c>
      <c r="C25">
        <v>185.85920715332031</v>
      </c>
      <c r="D25">
        <v>680.54195061326027</v>
      </c>
    </row>
    <row r="26" spans="1:4" x14ac:dyDescent="0.3">
      <c r="A26">
        <v>1975</v>
      </c>
      <c r="B26">
        <v>1074.766739487648</v>
      </c>
      <c r="C26">
        <v>145.66639709472659</v>
      </c>
      <c r="D26">
        <v>1014.357718706131</v>
      </c>
    </row>
    <row r="27" spans="1:4" x14ac:dyDescent="0.3">
      <c r="A27">
        <v>1976</v>
      </c>
      <c r="B27">
        <v>1201.5333396494391</v>
      </c>
      <c r="C27">
        <v>111.84124755859381</v>
      </c>
      <c r="D27">
        <v>1028.3323012888429</v>
      </c>
    </row>
    <row r="28" spans="1:4" x14ac:dyDescent="0.3">
      <c r="A28">
        <v>1977</v>
      </c>
      <c r="B28">
        <v>1261.4116010665889</v>
      </c>
      <c r="C28">
        <v>160.52439880371091</v>
      </c>
      <c r="D28">
        <v>1259.921113848686</v>
      </c>
    </row>
    <row r="29" spans="1:4" x14ac:dyDescent="0.3">
      <c r="A29">
        <v>1978</v>
      </c>
      <c r="B29">
        <v>1060.999773651361</v>
      </c>
      <c r="C29">
        <v>150.59381103515619</v>
      </c>
      <c r="D29">
        <v>985.53591158986092</v>
      </c>
    </row>
    <row r="30" spans="1:4" x14ac:dyDescent="0.3">
      <c r="A30">
        <v>1979</v>
      </c>
      <c r="B30">
        <v>724.02481731772423</v>
      </c>
      <c r="C30">
        <v>122.4096603393555</v>
      </c>
      <c r="D30">
        <v>593.99131926894188</v>
      </c>
    </row>
    <row r="31" spans="1:4" x14ac:dyDescent="0.3">
      <c r="A31">
        <v>1980</v>
      </c>
      <c r="B31">
        <v>733.1699720621109</v>
      </c>
      <c r="C31">
        <v>76.435554504394531</v>
      </c>
      <c r="D31">
        <v>701.20498931407928</v>
      </c>
    </row>
    <row r="32" spans="1:4" x14ac:dyDescent="0.3">
      <c r="A32">
        <v>1981</v>
      </c>
      <c r="B32">
        <v>953.39359845221043</v>
      </c>
      <c r="C32">
        <v>78.915367126464844</v>
      </c>
      <c r="D32">
        <v>803.39798034727573</v>
      </c>
    </row>
    <row r="33" spans="1:4" x14ac:dyDescent="0.3">
      <c r="A33">
        <v>1982</v>
      </c>
      <c r="B33">
        <v>660.90346284210682</v>
      </c>
      <c r="C33">
        <v>91.511878967285156</v>
      </c>
      <c r="D33">
        <v>534.58896847069263</v>
      </c>
    </row>
    <row r="34" spans="1:4" x14ac:dyDescent="0.3">
      <c r="A34">
        <v>1983</v>
      </c>
      <c r="B34">
        <v>942.97467297315598</v>
      </c>
      <c r="C34">
        <v>168.13600158691409</v>
      </c>
      <c r="D34">
        <v>873.27350181341171</v>
      </c>
    </row>
    <row r="35" spans="1:4" x14ac:dyDescent="0.3">
      <c r="A35">
        <v>1984</v>
      </c>
      <c r="B35">
        <v>1073.7087097167971</v>
      </c>
      <c r="C35">
        <v>171.45854187011719</v>
      </c>
      <c r="D35">
        <v>1073.7087097167971</v>
      </c>
    </row>
    <row r="36" spans="1:4" x14ac:dyDescent="0.3">
      <c r="A36">
        <v>1985</v>
      </c>
      <c r="B36">
        <v>497.58632400631899</v>
      </c>
      <c r="C36">
        <v>77.230850219726563</v>
      </c>
      <c r="D36">
        <v>307.89848437905312</v>
      </c>
    </row>
    <row r="37" spans="1:4" x14ac:dyDescent="0.3">
      <c r="A37">
        <v>1986</v>
      </c>
      <c r="B37">
        <v>893.04030258953571</v>
      </c>
      <c r="C37">
        <v>234.0330505371094</v>
      </c>
      <c r="D37">
        <v>886.00659239292145</v>
      </c>
    </row>
    <row r="38" spans="1:4" x14ac:dyDescent="0.3">
      <c r="A38">
        <v>1987</v>
      </c>
      <c r="B38">
        <v>929.19585613906384</v>
      </c>
      <c r="C38">
        <v>300.23431396484381</v>
      </c>
      <c r="D38">
        <v>897.31044487655163</v>
      </c>
    </row>
    <row r="39" spans="1:4" x14ac:dyDescent="0.3">
      <c r="A39">
        <v>1988</v>
      </c>
      <c r="B39">
        <v>780.82946139574051</v>
      </c>
      <c r="C39">
        <v>147.52168273925781</v>
      </c>
      <c r="D39">
        <v>764.88658085465431</v>
      </c>
    </row>
    <row r="40" spans="1:4" x14ac:dyDescent="0.3">
      <c r="A40">
        <v>1989</v>
      </c>
      <c r="B40">
        <v>835.16604945808649</v>
      </c>
      <c r="C40">
        <v>69.128929138183594</v>
      </c>
      <c r="D40">
        <v>785.77211955934763</v>
      </c>
    </row>
    <row r="41" spans="1:4" x14ac:dyDescent="0.3">
      <c r="A41">
        <v>1990</v>
      </c>
      <c r="B41">
        <v>1302.602945044637</v>
      </c>
      <c r="C41">
        <v>103.6855087280273</v>
      </c>
      <c r="D41">
        <v>1250.871471121907</v>
      </c>
    </row>
    <row r="42" spans="1:4" x14ac:dyDescent="0.3">
      <c r="A42">
        <v>1991</v>
      </c>
      <c r="B42">
        <v>886.21837101876736</v>
      </c>
      <c r="C42">
        <v>155.31294250488281</v>
      </c>
      <c r="D42">
        <v>886.21837101876736</v>
      </c>
    </row>
    <row r="43" spans="1:4" x14ac:dyDescent="0.3">
      <c r="A43">
        <v>1992</v>
      </c>
      <c r="B43">
        <v>691.22536966949701</v>
      </c>
      <c r="C43">
        <v>74.351173400878906</v>
      </c>
      <c r="D43">
        <v>617.10016349703074</v>
      </c>
    </row>
    <row r="44" spans="1:4" x14ac:dyDescent="0.3">
      <c r="A44">
        <v>1993</v>
      </c>
      <c r="B44">
        <v>873.48094335198402</v>
      </c>
      <c r="C44">
        <v>136.8251953125</v>
      </c>
      <c r="D44">
        <v>839.38934269547462</v>
      </c>
    </row>
    <row r="45" spans="1:4" x14ac:dyDescent="0.3">
      <c r="A45">
        <v>1994</v>
      </c>
      <c r="B45">
        <v>1317.1175595968959</v>
      </c>
      <c r="C45">
        <v>197.0416564941406</v>
      </c>
      <c r="D45">
        <v>1244.605074808002</v>
      </c>
    </row>
    <row r="46" spans="1:4" x14ac:dyDescent="0.3">
      <c r="A46">
        <v>1995</v>
      </c>
      <c r="B46">
        <v>618.74882465600967</v>
      </c>
      <c r="C46">
        <v>75.766693115234375</v>
      </c>
      <c r="D46">
        <v>568.2463299036026</v>
      </c>
    </row>
    <row r="47" spans="1:4" x14ac:dyDescent="0.3">
      <c r="A47">
        <v>1996</v>
      </c>
      <c r="B47">
        <v>1100.681188836694</v>
      </c>
      <c r="C47">
        <v>119.3086776733398</v>
      </c>
      <c r="D47">
        <v>1013.507636040449</v>
      </c>
    </row>
    <row r="48" spans="1:4" x14ac:dyDescent="0.3">
      <c r="A48">
        <v>1997</v>
      </c>
      <c r="B48">
        <v>760.59325121343136</v>
      </c>
      <c r="C48">
        <v>82.992240905761719</v>
      </c>
      <c r="D48">
        <v>707.65997485816479</v>
      </c>
    </row>
    <row r="49" spans="1:4" x14ac:dyDescent="0.3">
      <c r="A49">
        <v>1998</v>
      </c>
      <c r="B49">
        <v>775.82725262641907</v>
      </c>
      <c r="C49">
        <v>69.755790710449219</v>
      </c>
      <c r="D49">
        <v>703.06276559829712</v>
      </c>
    </row>
    <row r="50" spans="1:4" x14ac:dyDescent="0.3">
      <c r="A50">
        <v>1999</v>
      </c>
      <c r="B50">
        <v>685.66220588237047</v>
      </c>
      <c r="C50">
        <v>120.5314407348633</v>
      </c>
      <c r="D50">
        <v>633.34435105323792</v>
      </c>
    </row>
    <row r="51" spans="1:4" x14ac:dyDescent="0.3">
      <c r="A51">
        <v>2000</v>
      </c>
      <c r="B51">
        <v>416.30047082155937</v>
      </c>
      <c r="C51">
        <v>64.722198486328125</v>
      </c>
      <c r="D51">
        <v>416.08279234915972</v>
      </c>
    </row>
    <row r="52" spans="1:4" x14ac:dyDescent="0.3">
      <c r="A52">
        <v>2001</v>
      </c>
      <c r="B52">
        <v>735.59516368061304</v>
      </c>
      <c r="C52">
        <v>139.58024597167969</v>
      </c>
      <c r="D52">
        <v>722.70834431797266</v>
      </c>
    </row>
    <row r="53" spans="1:4" x14ac:dyDescent="0.3">
      <c r="A53">
        <v>2002</v>
      </c>
      <c r="B53">
        <v>572.12356249988079</v>
      </c>
      <c r="C53">
        <v>85.4158935546875</v>
      </c>
      <c r="D53">
        <v>547.97216571867466</v>
      </c>
    </row>
    <row r="54" spans="1:4" x14ac:dyDescent="0.3">
      <c r="A54">
        <v>2003</v>
      </c>
      <c r="B54">
        <v>718.68059892207384</v>
      </c>
      <c r="C54">
        <v>77.027809143066406</v>
      </c>
      <c r="D54">
        <v>718.68059892207384</v>
      </c>
    </row>
    <row r="55" spans="1:4" x14ac:dyDescent="0.3">
      <c r="A55">
        <v>2004</v>
      </c>
      <c r="B55">
        <v>1064.134287372231</v>
      </c>
      <c r="C55">
        <v>180.3763427734375</v>
      </c>
      <c r="D55">
        <v>1038.7081121951339</v>
      </c>
    </row>
    <row r="56" spans="1:4" x14ac:dyDescent="0.3">
      <c r="A56">
        <v>2005</v>
      </c>
      <c r="B56">
        <v>712.4233510196209</v>
      </c>
      <c r="C56">
        <v>208.32313537597659</v>
      </c>
      <c r="D56">
        <v>712.4233510196209</v>
      </c>
    </row>
    <row r="57" spans="1:4" x14ac:dyDescent="0.3">
      <c r="A57">
        <v>2006</v>
      </c>
      <c r="B57">
        <v>1760.3732378035779</v>
      </c>
      <c r="C57">
        <v>141.53855895996091</v>
      </c>
      <c r="D57">
        <v>1753.9687820822001</v>
      </c>
    </row>
    <row r="58" spans="1:4" x14ac:dyDescent="0.3">
      <c r="A58">
        <v>2007</v>
      </c>
      <c r="B58">
        <v>1004.795964039862</v>
      </c>
      <c r="C58">
        <v>241.0697326660156</v>
      </c>
      <c r="D58">
        <v>989.23805574327707</v>
      </c>
    </row>
    <row r="59" spans="1:4" x14ac:dyDescent="0.3">
      <c r="A59">
        <v>2008</v>
      </c>
      <c r="B59">
        <v>647.28854689002037</v>
      </c>
      <c r="C59">
        <v>88.850601196289063</v>
      </c>
      <c r="D59">
        <v>636.60747322440147</v>
      </c>
    </row>
    <row r="60" spans="1:4" x14ac:dyDescent="0.3">
      <c r="A60">
        <v>2009</v>
      </c>
      <c r="B60">
        <v>746.69867588579655</v>
      </c>
      <c r="C60">
        <v>89.458869934082031</v>
      </c>
      <c r="D60">
        <v>718.99258305132389</v>
      </c>
    </row>
    <row r="61" spans="1:4" x14ac:dyDescent="0.3">
      <c r="A61">
        <v>2010</v>
      </c>
      <c r="B61">
        <v>598.02926702797413</v>
      </c>
      <c r="C61">
        <v>107.2655029296875</v>
      </c>
      <c r="D61">
        <v>588.00623394548893</v>
      </c>
    </row>
    <row r="62" spans="1:4" x14ac:dyDescent="0.3">
      <c r="A62">
        <v>2011</v>
      </c>
      <c r="B62">
        <v>1247.692745119333</v>
      </c>
      <c r="C62">
        <v>187.427734375</v>
      </c>
      <c r="D62">
        <v>1241.8199509680269</v>
      </c>
    </row>
    <row r="63" spans="1:4" x14ac:dyDescent="0.3">
      <c r="A63">
        <v>2012</v>
      </c>
      <c r="B63">
        <v>1240.67189783603</v>
      </c>
      <c r="C63">
        <v>252.88401794433591</v>
      </c>
      <c r="D63">
        <v>1210.857619710267</v>
      </c>
    </row>
    <row r="64" spans="1:4" x14ac:dyDescent="0.3">
      <c r="A64">
        <v>2013</v>
      </c>
      <c r="B64">
        <v>1028.0237731486559</v>
      </c>
      <c r="C64">
        <v>81.497024536132813</v>
      </c>
      <c r="D64">
        <v>887.92022556066513</v>
      </c>
    </row>
    <row r="65" spans="1:4" x14ac:dyDescent="0.3">
      <c r="A65">
        <v>2014</v>
      </c>
      <c r="B65">
        <v>623.89321653544903</v>
      </c>
      <c r="C65">
        <v>66.976654052734375</v>
      </c>
      <c r="D65">
        <v>619.94962780177593</v>
      </c>
    </row>
    <row r="66" spans="1:4" x14ac:dyDescent="0.3">
      <c r="A66">
        <v>2015</v>
      </c>
      <c r="B66">
        <v>609.3594976067543</v>
      </c>
      <c r="C66">
        <v>123.436882019043</v>
      </c>
      <c r="D66">
        <v>609.3594976067543</v>
      </c>
    </row>
    <row r="67" spans="1:4" x14ac:dyDescent="0.3">
      <c r="A67">
        <v>2016</v>
      </c>
      <c r="B67">
        <v>1028.0410427749159</v>
      </c>
      <c r="C67">
        <v>129.34568786621091</v>
      </c>
      <c r="D67">
        <v>1003.279606312513</v>
      </c>
    </row>
    <row r="68" spans="1:4" x14ac:dyDescent="0.3">
      <c r="A68">
        <v>2017</v>
      </c>
      <c r="B68">
        <v>856.67372055351734</v>
      </c>
      <c r="C68">
        <v>216.55467224121091</v>
      </c>
      <c r="D68">
        <v>856.67372055351734</v>
      </c>
    </row>
    <row r="69" spans="1:4" x14ac:dyDescent="0.3">
      <c r="A69">
        <v>2018</v>
      </c>
      <c r="B69">
        <v>860.43281884491444</v>
      </c>
      <c r="C69">
        <v>107.9108963012695</v>
      </c>
      <c r="D69">
        <v>858.16383548080921</v>
      </c>
    </row>
    <row r="70" spans="1:4" x14ac:dyDescent="0.3">
      <c r="A70">
        <v>2019</v>
      </c>
      <c r="B70">
        <v>1403.384516336024</v>
      </c>
      <c r="C70">
        <v>85.306716918945313</v>
      </c>
      <c r="D70">
        <v>1325.9452137798071</v>
      </c>
    </row>
    <row r="71" spans="1:4" x14ac:dyDescent="0.3">
      <c r="A71">
        <v>2020</v>
      </c>
      <c r="B71">
        <v>1322.7175650149579</v>
      </c>
      <c r="C71">
        <v>288.07089233398438</v>
      </c>
      <c r="D71">
        <v>1254.8692661672831</v>
      </c>
    </row>
    <row r="72" spans="1:4" x14ac:dyDescent="0.3">
      <c r="A72">
        <v>2021</v>
      </c>
      <c r="B72">
        <v>979.08022486418486</v>
      </c>
      <c r="C72">
        <v>102.708251953125</v>
      </c>
      <c r="D72">
        <v>940.95515850186348</v>
      </c>
    </row>
    <row r="73" spans="1:4" x14ac:dyDescent="0.3">
      <c r="A73">
        <v>2022</v>
      </c>
      <c r="B73">
        <v>1010.515280900523</v>
      </c>
      <c r="C73">
        <v>71.24322509765625</v>
      </c>
      <c r="D73">
        <v>949.78553174436092</v>
      </c>
    </row>
    <row r="74" spans="1:4" x14ac:dyDescent="0.3">
      <c r="A74">
        <v>2023</v>
      </c>
      <c r="B74">
        <v>807.82766994647682</v>
      </c>
      <c r="C74">
        <v>165.86981201171881</v>
      </c>
      <c r="D74">
        <v>757.57159247808158</v>
      </c>
    </row>
    <row r="75" spans="1:4" x14ac:dyDescent="0.3">
      <c r="A75">
        <v>2024</v>
      </c>
      <c r="B75">
        <v>995.84565645456314</v>
      </c>
      <c r="C75">
        <v>114.8228759765625</v>
      </c>
      <c r="D75">
        <v>905.66126522421837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J5" sqref="J5"/>
    </sheetView>
  </sheetViews>
  <sheetFormatPr defaultRowHeight="14.4" x14ac:dyDescent="0.3"/>
  <cols>
    <col min="2" max="7" width="12" bestFit="1" customWidth="1"/>
  </cols>
  <sheetData>
    <row r="1" spans="1:7" x14ac:dyDescent="0.3">
      <c r="B1">
        <v>2</v>
      </c>
      <c r="C1">
        <v>5</v>
      </c>
      <c r="D1">
        <v>10</v>
      </c>
      <c r="E1">
        <v>25</v>
      </c>
      <c r="F1">
        <v>50</v>
      </c>
      <c r="G1">
        <v>100</v>
      </c>
    </row>
    <row r="2" spans="1:7" x14ac:dyDescent="0.3">
      <c r="A2">
        <v>1</v>
      </c>
      <c r="B2">
        <v>115.27788988757921</v>
      </c>
      <c r="C2">
        <v>167.04676028788151</v>
      </c>
      <c r="D2">
        <v>201.3222570509279</v>
      </c>
      <c r="E2">
        <v>244.62943807361731</v>
      </c>
      <c r="F2">
        <v>276.75717891159991</v>
      </c>
      <c r="G2">
        <v>308.64769355435311</v>
      </c>
    </row>
    <row r="3" spans="1:7" x14ac:dyDescent="0.3">
      <c r="A3">
        <v>2</v>
      </c>
      <c r="B3">
        <v>160.0970459620805</v>
      </c>
      <c r="C3">
        <v>231.37534064070979</v>
      </c>
      <c r="D3">
        <v>278.56777384702832</v>
      </c>
      <c r="E3">
        <v>338.19553830792682</v>
      </c>
      <c r="F3">
        <v>382.43082026600058</v>
      </c>
      <c r="G3">
        <v>426.33947584574508</v>
      </c>
    </row>
    <row r="4" spans="1:7" x14ac:dyDescent="0.3">
      <c r="A4">
        <v>3</v>
      </c>
      <c r="B4">
        <v>182.41401737409669</v>
      </c>
      <c r="C4">
        <v>261.1529973571113</v>
      </c>
      <c r="D4">
        <v>313.2850534105815</v>
      </c>
      <c r="E4">
        <v>379.15404443354242</v>
      </c>
      <c r="F4">
        <v>428.01942479012479</v>
      </c>
      <c r="G4">
        <v>476.52399084859371</v>
      </c>
    </row>
    <row r="5" spans="1:7" x14ac:dyDescent="0.3">
      <c r="A5">
        <v>5</v>
      </c>
      <c r="B5">
        <v>211.835755405952</v>
      </c>
      <c r="C5">
        <v>301.04164933302582</v>
      </c>
      <c r="D5">
        <v>360.1037131736968</v>
      </c>
      <c r="E5">
        <v>434.72878740688037</v>
      </c>
      <c r="F5">
        <v>490.08993048665792</v>
      </c>
      <c r="G5">
        <v>545.042295576019</v>
      </c>
    </row>
    <row r="6" spans="1:7" x14ac:dyDescent="0.3">
      <c r="A6">
        <v>7</v>
      </c>
      <c r="B6">
        <v>244.04527156036241</v>
      </c>
      <c r="C6">
        <v>340.40824306901231</v>
      </c>
      <c r="D6">
        <v>404.20891502655547</v>
      </c>
      <c r="E6">
        <v>484.82123317721391</v>
      </c>
      <c r="F6">
        <v>544.62405582079464</v>
      </c>
      <c r="G6">
        <v>603.98530380927434</v>
      </c>
    </row>
    <row r="7" spans="1:7" x14ac:dyDescent="0.3">
      <c r="A7">
        <v>10</v>
      </c>
      <c r="B7">
        <v>286.06136017485221</v>
      </c>
      <c r="C7">
        <v>402.5383223358408</v>
      </c>
      <c r="D7">
        <v>479.65620628130802</v>
      </c>
      <c r="E7">
        <v>577.09485708195268</v>
      </c>
      <c r="F7">
        <v>649.38041450222613</v>
      </c>
      <c r="G7">
        <v>721.13222671323251</v>
      </c>
    </row>
    <row r="8" spans="1:7" x14ac:dyDescent="0.3">
      <c r="A8">
        <v>15</v>
      </c>
      <c r="B8">
        <v>340.78439587363641</v>
      </c>
      <c r="C8">
        <v>465.89694347854669</v>
      </c>
      <c r="D8">
        <v>548.73233639497312</v>
      </c>
      <c r="E8">
        <v>653.39507493724727</v>
      </c>
      <c r="F8">
        <v>731.03987332571762</v>
      </c>
      <c r="G8">
        <v>808.1113547108564</v>
      </c>
    </row>
    <row r="9" spans="1:7" x14ac:dyDescent="0.3">
      <c r="A9">
        <v>30</v>
      </c>
      <c r="B9">
        <v>461.69856117994908</v>
      </c>
      <c r="C9">
        <v>630.2376048878649</v>
      </c>
      <c r="D9">
        <v>741.8251168885879</v>
      </c>
      <c r="E9">
        <v>882.81623411426062</v>
      </c>
      <c r="F9">
        <v>987.41149909608498</v>
      </c>
      <c r="G9">
        <v>1091.234449059689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activeCell="J25" sqref="J25"/>
    </sheetView>
  </sheetViews>
  <sheetFormatPr defaultRowHeight="14.4" x14ac:dyDescent="0.3"/>
  <cols>
    <col min="2" max="7" width="12" bestFit="1" customWidth="1"/>
  </cols>
  <sheetData>
    <row r="1" spans="1:7" x14ac:dyDescent="0.3">
      <c r="B1">
        <v>2</v>
      </c>
      <c r="C1">
        <v>5</v>
      </c>
      <c r="D1">
        <v>10</v>
      </c>
      <c r="E1">
        <v>25</v>
      </c>
      <c r="F1">
        <v>50</v>
      </c>
      <c r="G1">
        <v>100</v>
      </c>
    </row>
    <row r="2" spans="1:7" x14ac:dyDescent="0.3">
      <c r="A2">
        <v>1</v>
      </c>
      <c r="B2">
        <v>4.8032454119824664</v>
      </c>
      <c r="C2">
        <v>6.960281678661727</v>
      </c>
      <c r="D2">
        <v>8.3884273771219942</v>
      </c>
      <c r="E2">
        <v>10.192893253067391</v>
      </c>
      <c r="F2">
        <v>11.53154912131666</v>
      </c>
      <c r="G2">
        <v>12.860320564764709</v>
      </c>
    </row>
    <row r="3" spans="1:7" x14ac:dyDescent="0.3">
      <c r="A3">
        <v>2</v>
      </c>
      <c r="B3">
        <v>3.335355124210011</v>
      </c>
      <c r="C3">
        <v>4.820319596681454</v>
      </c>
      <c r="D3">
        <v>5.8034952884797564</v>
      </c>
      <c r="E3">
        <v>7.0457403814151407</v>
      </c>
      <c r="F3">
        <v>7.9673087555416799</v>
      </c>
      <c r="G3">
        <v>8.8820724134530238</v>
      </c>
    </row>
    <row r="4" spans="1:7" x14ac:dyDescent="0.3">
      <c r="A4">
        <v>3</v>
      </c>
      <c r="B4">
        <v>2.5335280190846761</v>
      </c>
      <c r="C4">
        <v>3.627124963293213</v>
      </c>
      <c r="D4">
        <v>4.3511812973691866</v>
      </c>
      <c r="E4">
        <v>5.2660283949103111</v>
      </c>
      <c r="F4">
        <v>5.9447142331961773</v>
      </c>
      <c r="G4">
        <v>6.618388761786024</v>
      </c>
    </row>
    <row r="5" spans="1:7" x14ac:dyDescent="0.3">
      <c r="A5">
        <v>5</v>
      </c>
      <c r="B5">
        <v>1.765297961716267</v>
      </c>
      <c r="C5">
        <v>2.508680411108549</v>
      </c>
      <c r="D5">
        <v>3.0008642764474729</v>
      </c>
      <c r="E5">
        <v>3.6227398950573368</v>
      </c>
      <c r="F5">
        <v>4.0840827540554816</v>
      </c>
      <c r="G5">
        <v>4.542019129800158</v>
      </c>
    </row>
    <row r="6" spans="1:7" x14ac:dyDescent="0.3">
      <c r="A6">
        <v>7</v>
      </c>
      <c r="B6">
        <v>1.4526504259545381</v>
      </c>
      <c r="C6">
        <v>2.0262395420774539</v>
      </c>
      <c r="D6">
        <v>2.4060054465866401</v>
      </c>
      <c r="E6">
        <v>2.8858406736738922</v>
      </c>
      <c r="F6">
        <v>3.2418098560761579</v>
      </c>
      <c r="G6">
        <v>3.5951506179123469</v>
      </c>
    </row>
    <row r="7" spans="1:7" x14ac:dyDescent="0.3">
      <c r="A7">
        <v>10</v>
      </c>
      <c r="B7">
        <v>1.1919223340618841</v>
      </c>
      <c r="C7">
        <v>1.67724300973267</v>
      </c>
      <c r="D7">
        <v>1.998567526172117</v>
      </c>
      <c r="E7">
        <v>2.4045619045081361</v>
      </c>
      <c r="F7">
        <v>2.705751727092609</v>
      </c>
      <c r="G7">
        <v>3.0047176113051348</v>
      </c>
    </row>
    <row r="8" spans="1:7" x14ac:dyDescent="0.3">
      <c r="A8">
        <v>15</v>
      </c>
      <c r="B8">
        <v>0.94662332187121212</v>
      </c>
      <c r="C8">
        <v>1.294158176329296</v>
      </c>
      <c r="D8">
        <v>1.524256489986036</v>
      </c>
      <c r="E8">
        <v>1.814986319270131</v>
      </c>
      <c r="F8">
        <v>2.0306663147936601</v>
      </c>
      <c r="G8">
        <v>2.2447537630857122</v>
      </c>
    </row>
    <row r="9" spans="1:7" x14ac:dyDescent="0.3">
      <c r="A9">
        <v>30</v>
      </c>
      <c r="B9">
        <v>0.64124800163881812</v>
      </c>
      <c r="C9">
        <v>0.87533000678870121</v>
      </c>
      <c r="D9">
        <v>1.030312662345261</v>
      </c>
      <c r="E9">
        <v>1.226133658492029</v>
      </c>
      <c r="F9">
        <v>1.3714048598556741</v>
      </c>
      <c r="G9">
        <v>1.515603401471791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activeCell="M8" sqref="M8"/>
    </sheetView>
  </sheetViews>
  <sheetFormatPr defaultRowHeight="14.4" x14ac:dyDescent="0.3"/>
  <cols>
    <col min="1" max="1" width="12.6640625" bestFit="1" customWidth="1"/>
    <col min="2" max="2" width="19.6640625" bestFit="1" customWidth="1"/>
  </cols>
  <sheetData>
    <row r="1" spans="1:2" x14ac:dyDescent="0.3">
      <c r="A1" t="s">
        <v>21</v>
      </c>
      <c r="B1" t="s">
        <v>4</v>
      </c>
    </row>
    <row r="2" spans="1:2" x14ac:dyDescent="0.3">
      <c r="A2" t="s">
        <v>22</v>
      </c>
      <c r="B2">
        <v>0.1095918098102472</v>
      </c>
    </row>
    <row r="3" spans="1:2" x14ac:dyDescent="0.3">
      <c r="A3" t="s">
        <v>23</v>
      </c>
      <c r="B3">
        <v>3.5623750265906841E-2</v>
      </c>
    </row>
    <row r="4" spans="1:2" x14ac:dyDescent="0.3">
      <c r="A4" t="s">
        <v>24</v>
      </c>
      <c r="B4">
        <v>5.834620532359678E-2</v>
      </c>
    </row>
    <row r="5" spans="1:2" x14ac:dyDescent="0.3">
      <c r="A5" t="s">
        <v>25</v>
      </c>
      <c r="B5">
        <v>4.8430289855008718E-2</v>
      </c>
    </row>
    <row r="6" spans="1:2" x14ac:dyDescent="0.3">
      <c r="A6" t="s">
        <v>26</v>
      </c>
      <c r="B6">
        <v>0.1835299360589388</v>
      </c>
    </row>
    <row r="7" spans="1:2" x14ac:dyDescent="0.3">
      <c r="A7" t="s">
        <v>27</v>
      </c>
      <c r="B7">
        <v>3.2867126454137741</v>
      </c>
    </row>
    <row r="8" spans="1:2" x14ac:dyDescent="0.3">
      <c r="A8" t="s">
        <v>28</v>
      </c>
      <c r="B8">
        <v>9.320749446703406</v>
      </c>
    </row>
    <row r="9" spans="1:2" x14ac:dyDescent="0.3">
      <c r="A9" t="s">
        <v>29</v>
      </c>
      <c r="B9">
        <v>9.7792034529916023</v>
      </c>
    </row>
    <row r="10" spans="1:2" x14ac:dyDescent="0.3">
      <c r="A10" t="s">
        <v>30</v>
      </c>
      <c r="B10">
        <v>5.2389696800191929</v>
      </c>
    </row>
    <row r="11" spans="1:2" x14ac:dyDescent="0.3">
      <c r="A11" t="s">
        <v>31</v>
      </c>
      <c r="B11">
        <v>0.6638732191691632</v>
      </c>
    </row>
    <row r="12" spans="1:2" x14ac:dyDescent="0.3">
      <c r="A12" t="s">
        <v>32</v>
      </c>
      <c r="B12">
        <v>0.30039558871775057</v>
      </c>
    </row>
    <row r="13" spans="1:2" x14ac:dyDescent="0.3">
      <c r="A13" t="s">
        <v>33</v>
      </c>
      <c r="B13">
        <v>9.9458927923607221E-2</v>
      </c>
    </row>
  </sheetData>
  <phoneticPr fontId="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tabSelected="1" workbookViewId="0">
      <selection sqref="A1:E5"/>
    </sheetView>
  </sheetViews>
  <sheetFormatPr defaultRowHeight="14.4" x14ac:dyDescent="0.3"/>
  <cols>
    <col min="1" max="1" width="21.5546875" style="1" bestFit="1" customWidth="1"/>
    <col min="2" max="2" width="12.88671875" customWidth="1"/>
    <col min="3" max="3" width="24.109375" customWidth="1"/>
    <col min="4" max="4" width="22.33203125" customWidth="1"/>
    <col min="5" max="5" width="15.44140625" customWidth="1"/>
  </cols>
  <sheetData>
    <row r="1" spans="1:5" s="1" customFormat="1" x14ac:dyDescent="0.3">
      <c r="A1" s="5" t="s">
        <v>5</v>
      </c>
      <c r="B1" s="6" t="s">
        <v>6</v>
      </c>
      <c r="C1" s="6" t="s">
        <v>7</v>
      </c>
      <c r="D1" s="6" t="s">
        <v>8</v>
      </c>
      <c r="E1" s="7" t="s">
        <v>9</v>
      </c>
    </row>
    <row r="2" spans="1:5" x14ac:dyDescent="0.3">
      <c r="A2" s="3" t="s">
        <v>10</v>
      </c>
      <c r="B2" s="2">
        <v>4.4039577501448424</v>
      </c>
      <c r="C2" s="2">
        <v>11.73471368578168</v>
      </c>
      <c r="D2" s="2">
        <v>2.664583620357333</v>
      </c>
      <c r="E2" s="4">
        <v>15.12094470884524</v>
      </c>
    </row>
    <row r="3" spans="1:5" x14ac:dyDescent="0.3">
      <c r="A3" s="3" t="s">
        <v>11</v>
      </c>
      <c r="B3" s="2">
        <v>8.9510690785088656</v>
      </c>
      <c r="C3" s="2">
        <v>17.96464699884439</v>
      </c>
      <c r="D3" s="2">
        <v>2.0069833939698598</v>
      </c>
      <c r="E3" s="4">
        <v>30.733405790901461</v>
      </c>
    </row>
    <row r="4" spans="1:5" x14ac:dyDescent="0.3">
      <c r="A4" s="3" t="s">
        <v>12</v>
      </c>
      <c r="B4" s="2">
        <v>847.86900965353425</v>
      </c>
      <c r="C4" s="2">
        <v>276.61559471250308</v>
      </c>
      <c r="D4" s="2">
        <v>0.32624803072533198</v>
      </c>
      <c r="E4" s="4">
        <v>2911.1497300111032</v>
      </c>
    </row>
    <row r="5" spans="1:5" x14ac:dyDescent="0.3">
      <c r="A5" s="8" t="s">
        <v>13</v>
      </c>
      <c r="B5" s="9">
        <v>32.675164221408401</v>
      </c>
      <c r="C5" s="9">
        <v>48.987651323263542</v>
      </c>
      <c r="D5" s="9">
        <v>1.499231985226485</v>
      </c>
      <c r="E5" s="10">
        <v>112.1898482173461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defaultRowHeight="14.4" x14ac:dyDescent="0.3"/>
  <cols>
    <col min="1" max="1" width="26.5546875" bestFit="1" customWidth="1"/>
    <col min="2" max="2" width="12.44140625" bestFit="1" customWidth="1"/>
    <col min="3" max="3" width="12" bestFit="1" customWidth="1"/>
    <col min="4" max="4" width="13.44140625" bestFit="1" customWidth="1"/>
  </cols>
  <sheetData>
    <row r="1" spans="1:4" x14ac:dyDescent="0.3">
      <c r="A1" t="s">
        <v>14</v>
      </c>
      <c r="B1" t="s">
        <v>15</v>
      </c>
      <c r="C1" t="s">
        <v>16</v>
      </c>
      <c r="D1" t="s">
        <v>17</v>
      </c>
    </row>
    <row r="2" spans="1:4" x14ac:dyDescent="0.3">
      <c r="A2" t="s">
        <v>18</v>
      </c>
      <c r="B2">
        <v>1.5538846889508959</v>
      </c>
      <c r="C2">
        <v>0.30536647160054708</v>
      </c>
      <c r="D2" t="b">
        <v>0</v>
      </c>
    </row>
    <row r="3" spans="1:4" x14ac:dyDescent="0.3">
      <c r="A3" t="s">
        <v>19</v>
      </c>
      <c r="B3">
        <v>0.57234097839152087</v>
      </c>
      <c r="C3">
        <v>7.2361015183461011E-2</v>
      </c>
      <c r="D3" t="b">
        <v>0</v>
      </c>
    </row>
    <row r="4" spans="1:4" x14ac:dyDescent="0.3">
      <c r="A4" t="s">
        <v>20</v>
      </c>
      <c r="B4">
        <v>1.755566902637002</v>
      </c>
      <c r="C4">
        <v>0.2462251791430291</v>
      </c>
      <c r="D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Time_Series</vt:lpstr>
      <vt:lpstr>DDF_Curves</vt:lpstr>
      <vt:lpstr>IDF_Curves</vt:lpstr>
      <vt:lpstr>Monthly_Average</vt:lpstr>
      <vt:lpstr>Seasonal_Summary</vt:lpstr>
      <vt:lpstr>Trend_Analysis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Srivastava</cp:lastModifiedBy>
  <dcterms:created xsi:type="dcterms:W3CDTF">2026-10-14T15:40:23Z</dcterms:created>
  <dcterms:modified xsi:type="dcterms:W3CDTF">2026-10-16T07:41:24Z</dcterms:modified>
</cp:coreProperties>
</file>